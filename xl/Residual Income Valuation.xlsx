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ego\Desktop\Diego\Entertainment\Programming\DTC\"/>
    </mc:Choice>
  </mc:AlternateContent>
  <bookViews>
    <workbookView xWindow="-120" yWindow="-120" windowWidth="24240" windowHeight="13140"/>
  </bookViews>
  <sheets>
    <sheet name="Model - 10 Year" sheetId="3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9" i="3" l="1"/>
  <c r="G30" i="3" s="1"/>
  <c r="G31" i="3"/>
  <c r="H6" i="3"/>
  <c r="I6" i="3" s="1"/>
  <c r="J6" i="3" s="1"/>
  <c r="K6" i="3" s="1"/>
  <c r="L6" i="3" s="1"/>
  <c r="H12" i="3" l="1"/>
  <c r="H14" i="3"/>
  <c r="I14" i="3" s="1"/>
  <c r="J14" i="3" s="1"/>
  <c r="K14" i="3" s="1"/>
  <c r="L14" i="3" s="1"/>
  <c r="M14" i="3" s="1"/>
  <c r="N14" i="3" s="1"/>
  <c r="O14" i="3" s="1"/>
  <c r="P14" i="3" s="1"/>
  <c r="Q14" i="3" s="1"/>
  <c r="H13" i="3" l="1"/>
  <c r="M6" i="3"/>
  <c r="N6" i="3" s="1"/>
  <c r="O6" i="3" s="1"/>
  <c r="P6" i="3" s="1"/>
  <c r="Q6" i="3" s="1"/>
  <c r="H31" i="3"/>
  <c r="H29" i="3"/>
  <c r="I12" i="3"/>
  <c r="I13" i="3" l="1"/>
  <c r="H30" i="3"/>
  <c r="I29" i="3"/>
  <c r="I31" i="3"/>
  <c r="I30" i="3"/>
  <c r="H5" i="3"/>
  <c r="I5" i="3" s="1"/>
  <c r="J5" i="3" s="1"/>
  <c r="K5" i="3" s="1"/>
  <c r="L5" i="3" s="1"/>
  <c r="M5" i="3" s="1"/>
  <c r="N5" i="3" s="1"/>
  <c r="O5" i="3" s="1"/>
  <c r="P5" i="3" s="1"/>
  <c r="Q5" i="3" s="1"/>
  <c r="H28" i="3"/>
  <c r="I28" i="3" s="1"/>
  <c r="J28" i="3" s="1"/>
  <c r="K28" i="3" s="1"/>
  <c r="L28" i="3" s="1"/>
  <c r="M28" i="3" s="1"/>
  <c r="N28" i="3" s="1"/>
  <c r="O28" i="3" s="1"/>
  <c r="P28" i="3" s="1"/>
  <c r="J12" i="3" l="1"/>
  <c r="J30" i="3" l="1"/>
  <c r="J29" i="3"/>
  <c r="K12" i="3"/>
  <c r="K30" i="3" s="1"/>
  <c r="J13" i="3"/>
  <c r="J31" i="3"/>
  <c r="K29" i="3" l="1"/>
  <c r="L12" i="3"/>
  <c r="K13" i="3"/>
  <c r="K31" i="3"/>
  <c r="L30" i="3" l="1"/>
  <c r="L29" i="3"/>
  <c r="M12" i="3"/>
  <c r="M31" i="3" s="1"/>
  <c r="L13" i="3"/>
  <c r="L31" i="3"/>
  <c r="M13" i="3" l="1"/>
  <c r="M30" i="3"/>
  <c r="M29" i="3"/>
  <c r="N12" i="3"/>
  <c r="N31" i="3" s="1"/>
  <c r="N29" i="3" l="1"/>
  <c r="O12" i="3"/>
  <c r="N30" i="3"/>
  <c r="N13" i="3"/>
  <c r="O31" i="3" l="1"/>
  <c r="O13" i="3"/>
  <c r="O29" i="3"/>
  <c r="O30" i="3"/>
  <c r="P12" i="3"/>
  <c r="P31" i="3" s="1"/>
  <c r="Q12" i="3"/>
  <c r="Q31" i="3" l="1"/>
  <c r="P29" i="3"/>
  <c r="P30" i="3"/>
  <c r="P13" i="3"/>
  <c r="Q13" i="3" s="1"/>
  <c r="Q29" i="3"/>
  <c r="Q30" i="3"/>
  <c r="G32" i="3" l="1"/>
</calcChain>
</file>

<file path=xl/sharedStrings.xml><?xml version="1.0" encoding="utf-8"?>
<sst xmlns="http://schemas.openxmlformats.org/spreadsheetml/2006/main" count="25" uniqueCount="24">
  <si>
    <t>($ in millions)</t>
  </si>
  <si>
    <t>Revenue</t>
  </si>
  <si>
    <t>% Growth</t>
  </si>
  <si>
    <t>Net Income</t>
  </si>
  <si>
    <t>Valuation Model Inputs</t>
  </si>
  <si>
    <t>Valuation Model Ouptuts</t>
  </si>
  <si>
    <t>% Change</t>
  </si>
  <si>
    <t>Operating Expenses</t>
  </si>
  <si>
    <t>% Gross Profit Margin</t>
  </si>
  <si>
    <t>Interest Expenses</t>
  </si>
  <si>
    <t>Other Expenses</t>
  </si>
  <si>
    <t>PE Ratio at Current Stock Price:</t>
  </si>
  <si>
    <t>Stock Price at Current PE Ratio:</t>
  </si>
  <si>
    <t>Stock Price at Competitor PE Ratio:</t>
  </si>
  <si>
    <t>Year 10</t>
  </si>
  <si>
    <t>Current Stock Price</t>
  </si>
  <si>
    <t>Competitor PE Ratio</t>
  </si>
  <si>
    <t>Equity Capital Opportunity Cost</t>
  </si>
  <si>
    <t>Terminal Growth Rate</t>
  </si>
  <si>
    <t>Predicted Stock Price:</t>
  </si>
  <si>
    <t xml:space="preserve">Number of Shares Outstanding </t>
  </si>
  <si>
    <t>Book Value (End of Year)</t>
  </si>
  <si>
    <t>Effective Tax Rate</t>
  </si>
  <si>
    <t>Annual Augmented Payout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</si>
</sst>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64" formatCode="#,##0_);\(#,##0\);\-\-_);@_)"/>
    <numFmt numFmtId="165" formatCode="&quot;Year&quot;\ 0_)"/>
    <numFmt numFmtId="166" formatCode="&quot;$&quot;#,##0_);\(&quot;$&quot;#,##0\);\-\-_);@_)"/>
    <numFmt numFmtId="167" formatCode="#,##0.0%_);\(#,##0.0%\);\-\-_);@_)"/>
    <numFmt numFmtId="168" formatCode="#,##0.0_);\(#,##0.0\);\-\-_);@_)"/>
    <numFmt numFmtId="169" formatCode="&quot;$&quot;#,##0.00_);\(&quot;$&quot;#,##0.00\);\-\-_);@_)"/>
    <numFmt numFmtId="170" formatCode="0.0&quot;x&quot;_)"/>
    <numFmt numFmtId="171" formatCode="#,##0.00_);\(#,##0.00\);\-\-_);@_)"/>
    <numFmt numFmtId="172" formatCode="#,##0.0%_);\-#,##0.0%_);\-\-_);@_)"/>
    <numFmt numFmtId="173" formatCode="&quot;$&quot;#,##0_);\-&quot;$&quot;#,##0_);\-\-_);@_)"/>
    <numFmt numFmtId="174" formatCode="#,##0.000_);\(#,##0.000\);\-\-_);@_)"/>
    <numFmt numFmtId="175" formatCode="#,##0.0000_);\(#,##0.0000\);\-\-_);@_)"/>
  </numFmts>
  <fonts count="23" x14ac:knownFonts="1">
    <font>
      <sz val="10"/>
      <color theme="1"/>
      <name val="Arial"/>
      <family val="2"/>
      <scheme val="minor"/>
    </font>
    <font>
      <i/>
      <sz val="10"/>
      <color rgb="FF9C0006"/>
      <name val="Arial"/>
      <family val="2"/>
      <scheme val="minor"/>
    </font>
    <font>
      <sz val="10"/>
      <color rgb="FF006100"/>
      <name val="Arial"/>
      <family val="2"/>
      <scheme val="minor"/>
    </font>
    <font>
      <sz val="10"/>
      <color rgb="FF9C57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rgb="FF3F3F76"/>
      <name val="Arial"/>
      <family val="2"/>
      <scheme val="minor"/>
    </font>
    <font>
      <sz val="10"/>
      <color rgb="FFFA7D00"/>
      <name val="Arial"/>
      <family val="2"/>
      <scheme val="minor"/>
    </font>
    <font>
      <i/>
      <sz val="10"/>
      <color rgb="FF7F7F7F"/>
      <name val="Arial"/>
      <family val="2"/>
    </font>
    <font>
      <b/>
      <sz val="10"/>
      <color rgb="FFFA7D00"/>
      <name val="Perpetua"/>
      <family val="1"/>
    </font>
    <font>
      <sz val="10"/>
      <color theme="1"/>
      <name val="Arial"/>
      <family val="2"/>
      <scheme val="major"/>
    </font>
    <font>
      <b/>
      <sz val="10"/>
      <color theme="1"/>
      <name val="Arial"/>
      <family val="2"/>
      <scheme val="major"/>
    </font>
    <font>
      <b/>
      <sz val="10"/>
      <color rgb="FF0000FF"/>
      <name val="Arial"/>
      <family val="2"/>
      <scheme val="major"/>
    </font>
    <font>
      <sz val="10"/>
      <color rgb="FF0000FF"/>
      <name val="Arial"/>
      <family val="2"/>
      <scheme val="major"/>
    </font>
    <font>
      <sz val="10"/>
      <name val="Arial"/>
      <family val="2"/>
      <scheme val="major"/>
    </font>
    <font>
      <b/>
      <sz val="10"/>
      <color theme="0"/>
      <name val="Arial"/>
      <family val="2"/>
      <scheme val="major"/>
    </font>
    <font>
      <b/>
      <sz val="10"/>
      <color rgb="FFFFFF00"/>
      <name val="Arial"/>
      <family val="2"/>
      <scheme val="major"/>
    </font>
    <font>
      <sz val="10"/>
      <color theme="4" tint="0.59999389629810485"/>
      <name val="Arial"/>
      <family val="2"/>
      <scheme val="major"/>
    </font>
    <font>
      <b/>
      <sz val="10"/>
      <color theme="4" tint="0.59999389629810485"/>
      <name val="Arial"/>
      <family val="2"/>
      <scheme val="major"/>
    </font>
    <font>
      <b/>
      <sz val="10"/>
      <name val="Arial"/>
      <family val="2"/>
      <scheme val="major"/>
    </font>
    <font>
      <sz val="10"/>
      <color rgb="FF7F17AD"/>
      <name val="Arial"/>
      <family val="2"/>
      <scheme val="major"/>
    </font>
    <font>
      <sz val="10"/>
      <color rgb="FF1D2DA7"/>
      <name val="Arial"/>
      <family val="2"/>
      <scheme val="major"/>
    </font>
    <font>
      <b/>
      <sz val="10"/>
      <color rgb="FF1D2DA7"/>
      <name val="Arial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4" fillId="2" borderId="1" applyNumberFormat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  <xf numFmtId="0" fontId="6" fillId="6" borderId="2" applyNumberFormat="0" applyAlignment="0" applyProtection="0"/>
    <xf numFmtId="0" fontId="9" fillId="7" borderId="2" applyNumberFormat="0" applyAlignment="0" applyProtection="0"/>
    <xf numFmtId="0" fontId="7" fillId="0" borderId="3" applyNumberFormat="0" applyFill="0" applyAlignment="0" applyProtection="0"/>
    <xf numFmtId="0" fontId="5" fillId="8" borderId="4" applyNumberFormat="0" applyAlignment="0" applyProtection="0"/>
    <xf numFmtId="0" fontId="8" fillId="0" borderId="0" applyNumberFormat="0" applyFill="0" applyBorder="0" applyAlignment="0" applyProtection="0"/>
  </cellStyleXfs>
  <cellXfs count="103">
    <xf numFmtId="0" fontId="0" fillId="0" borderId="0" xfId="0"/>
    <xf numFmtId="164" fontId="10" fillId="0" borderId="0" xfId="0" applyNumberFormat="1" applyFont="1"/>
    <xf numFmtId="164" fontId="10" fillId="0" borderId="0" xfId="0" applyNumberFormat="1" applyFont="1" applyAlignment="1">
      <alignment horizontal="right"/>
    </xf>
    <xf numFmtId="164" fontId="11" fillId="0" borderId="0" xfId="0" applyNumberFormat="1" applyFont="1"/>
    <xf numFmtId="49" fontId="10" fillId="0" borderId="0" xfId="0" applyNumberFormat="1" applyFont="1"/>
    <xf numFmtId="164" fontId="11" fillId="0" borderId="0" xfId="0" applyNumberFormat="1" applyFont="1" applyAlignment="1">
      <alignment horizontal="right"/>
    </xf>
    <xf numFmtId="167" fontId="13" fillId="0" borderId="0" xfId="0" applyNumberFormat="1" applyFont="1" applyAlignment="1">
      <alignment horizontal="center"/>
    </xf>
    <xf numFmtId="166" fontId="11" fillId="0" borderId="0" xfId="0" applyNumberFormat="1" applyFont="1"/>
    <xf numFmtId="164" fontId="14" fillId="0" borderId="0" xfId="0" applyNumberFormat="1" applyFont="1"/>
    <xf numFmtId="49" fontId="11" fillId="0" borderId="0" xfId="0" applyNumberFormat="1" applyFont="1"/>
    <xf numFmtId="168" fontId="10" fillId="0" borderId="0" xfId="0" applyNumberFormat="1" applyFont="1"/>
    <xf numFmtId="166" fontId="10" fillId="0" borderId="0" xfId="0" applyNumberFormat="1" applyFont="1" applyAlignment="1">
      <alignment horizontal="right"/>
    </xf>
    <xf numFmtId="166" fontId="11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/>
    </xf>
    <xf numFmtId="164" fontId="11" fillId="0" borderId="0" xfId="0" applyNumberFormat="1" applyFont="1" applyAlignment="1">
      <alignment horizontal="left"/>
    </xf>
    <xf numFmtId="169" fontId="11" fillId="0" borderId="0" xfId="0" applyNumberFormat="1" applyFont="1" applyAlignment="1">
      <alignment horizontal="right"/>
    </xf>
    <xf numFmtId="170" fontId="12" fillId="0" borderId="0" xfId="0" applyNumberFormat="1" applyFont="1" applyAlignment="1">
      <alignment horizontal="right"/>
    </xf>
    <xf numFmtId="171" fontId="10" fillId="0" borderId="0" xfId="0" applyNumberFormat="1" applyFont="1"/>
    <xf numFmtId="49" fontId="19" fillId="9" borderId="11" xfId="0" applyNumberFormat="1" applyFont="1" applyFill="1" applyBorder="1"/>
    <xf numFmtId="166" fontId="19" fillId="9" borderId="12" xfId="0" applyNumberFormat="1" applyFont="1" applyFill="1" applyBorder="1"/>
    <xf numFmtId="49" fontId="14" fillId="9" borderId="11" xfId="0" applyNumberFormat="1" applyFont="1" applyFill="1" applyBorder="1" applyAlignment="1">
      <alignment horizontal="left" indent="1"/>
    </xf>
    <xf numFmtId="164" fontId="10" fillId="9" borderId="12" xfId="0" applyNumberFormat="1" applyFont="1" applyFill="1" applyBorder="1"/>
    <xf numFmtId="49" fontId="19" fillId="9" borderId="13" xfId="0" applyNumberFormat="1" applyFont="1" applyFill="1" applyBorder="1"/>
    <xf numFmtId="49" fontId="14" fillId="9" borderId="14" xfId="0" applyNumberFormat="1" applyFont="1" applyFill="1" applyBorder="1"/>
    <xf numFmtId="164" fontId="17" fillId="9" borderId="14" xfId="0" applyNumberFormat="1" applyFont="1" applyFill="1" applyBorder="1" applyAlignment="1">
      <alignment horizontal="right"/>
    </xf>
    <xf numFmtId="164" fontId="17" fillId="9" borderId="14" xfId="0" applyNumberFormat="1" applyFont="1" applyFill="1" applyBorder="1"/>
    <xf numFmtId="164" fontId="10" fillId="9" borderId="14" xfId="0" applyNumberFormat="1" applyFont="1" applyFill="1" applyBorder="1"/>
    <xf numFmtId="164" fontId="10" fillId="9" borderId="15" xfId="0" applyNumberFormat="1" applyFont="1" applyFill="1" applyBorder="1"/>
    <xf numFmtId="164" fontId="11" fillId="9" borderId="11" xfId="0" applyNumberFormat="1" applyFont="1" applyFill="1" applyBorder="1"/>
    <xf numFmtId="49" fontId="11" fillId="9" borderId="11" xfId="0" applyNumberFormat="1" applyFont="1" applyFill="1" applyBorder="1"/>
    <xf numFmtId="49" fontId="11" fillId="9" borderId="13" xfId="0" applyNumberFormat="1" applyFont="1" applyFill="1" applyBorder="1"/>
    <xf numFmtId="164" fontId="11" fillId="9" borderId="14" xfId="0" applyNumberFormat="1" applyFont="1" applyFill="1" applyBorder="1"/>
    <xf numFmtId="164" fontId="11" fillId="9" borderId="14" xfId="0" applyNumberFormat="1" applyFont="1" applyFill="1" applyBorder="1" applyAlignment="1">
      <alignment horizontal="right"/>
    </xf>
    <xf numFmtId="169" fontId="11" fillId="9" borderId="14" xfId="0" applyNumberFormat="1" applyFont="1" applyFill="1" applyBorder="1"/>
    <xf numFmtId="164" fontId="10" fillId="9" borderId="14" xfId="0" applyNumberFormat="1" applyFont="1" applyFill="1" applyBorder="1" applyAlignment="1">
      <alignment horizontal="right"/>
    </xf>
    <xf numFmtId="49" fontId="11" fillId="10" borderId="8" xfId="0" applyNumberFormat="1" applyFont="1" applyFill="1" applyBorder="1"/>
    <xf numFmtId="164" fontId="15" fillId="10" borderId="9" xfId="0" applyNumberFormat="1" applyFont="1" applyFill="1" applyBorder="1"/>
    <xf numFmtId="164" fontId="16" fillId="10" borderId="9" xfId="0" applyNumberFormat="1" applyFont="1" applyFill="1" applyBorder="1" applyAlignment="1">
      <alignment horizontal="right"/>
    </xf>
    <xf numFmtId="164" fontId="16" fillId="10" borderId="9" xfId="0" applyNumberFormat="1" applyFont="1" applyFill="1" applyBorder="1"/>
    <xf numFmtId="164" fontId="16" fillId="10" borderId="10" xfId="0" applyNumberFormat="1" applyFont="1" applyFill="1" applyBorder="1"/>
    <xf numFmtId="166" fontId="14" fillId="9" borderId="12" xfId="0" applyNumberFormat="1" applyFont="1" applyFill="1" applyBorder="1"/>
    <xf numFmtId="164" fontId="14" fillId="9" borderId="12" xfId="0" applyNumberFormat="1" applyFont="1" applyFill="1" applyBorder="1"/>
    <xf numFmtId="49" fontId="11" fillId="11" borderId="8" xfId="0" applyNumberFormat="1" applyFont="1" applyFill="1" applyBorder="1"/>
    <xf numFmtId="164" fontId="11" fillId="11" borderId="9" xfId="0" applyNumberFormat="1" applyFont="1" applyFill="1" applyBorder="1"/>
    <xf numFmtId="164" fontId="11" fillId="11" borderId="9" xfId="0" applyNumberFormat="1" applyFont="1" applyFill="1" applyBorder="1" applyAlignment="1">
      <alignment horizontal="right"/>
    </xf>
    <xf numFmtId="164" fontId="11" fillId="11" borderId="10" xfId="0" applyNumberFormat="1" applyFont="1" applyFill="1" applyBorder="1"/>
    <xf numFmtId="49" fontId="10" fillId="11" borderId="13" xfId="0" quotePrefix="1" applyNumberFormat="1" applyFont="1" applyFill="1" applyBorder="1"/>
    <xf numFmtId="164" fontId="10" fillId="11" borderId="14" xfId="0" quotePrefix="1" applyNumberFormat="1" applyFont="1" applyFill="1" applyBorder="1"/>
    <xf numFmtId="164" fontId="10" fillId="11" borderId="14" xfId="0" applyNumberFormat="1" applyFont="1" applyFill="1" applyBorder="1" applyAlignment="1">
      <alignment horizontal="right"/>
    </xf>
    <xf numFmtId="164" fontId="10" fillId="11" borderId="14" xfId="0" applyNumberFormat="1" applyFont="1" applyFill="1" applyBorder="1"/>
    <xf numFmtId="165" fontId="11" fillId="11" borderId="14" xfId="0" applyNumberFormat="1" applyFont="1" applyFill="1" applyBorder="1" applyAlignment="1">
      <alignment horizontal="right"/>
    </xf>
    <xf numFmtId="165" fontId="11" fillId="11" borderId="15" xfId="0" applyNumberFormat="1" applyFont="1" applyFill="1" applyBorder="1" applyAlignment="1">
      <alignment horizontal="right"/>
    </xf>
    <xf numFmtId="49" fontId="14" fillId="10" borderId="13" xfId="0" quotePrefix="1" applyNumberFormat="1" applyFont="1" applyFill="1" applyBorder="1"/>
    <xf numFmtId="164" fontId="14" fillId="10" borderId="14" xfId="0" quotePrefix="1" applyNumberFormat="1" applyFont="1" applyFill="1" applyBorder="1"/>
    <xf numFmtId="164" fontId="17" fillId="10" borderId="14" xfId="0" applyNumberFormat="1" applyFont="1" applyFill="1" applyBorder="1" applyAlignment="1">
      <alignment horizontal="right"/>
    </xf>
    <xf numFmtId="164" fontId="17" fillId="10" borderId="14" xfId="0" applyNumberFormat="1" applyFont="1" applyFill="1" applyBorder="1"/>
    <xf numFmtId="165" fontId="19" fillId="10" borderId="14" xfId="0" applyNumberFormat="1" applyFont="1" applyFill="1" applyBorder="1" applyAlignment="1">
      <alignment horizontal="right"/>
    </xf>
    <xf numFmtId="165" fontId="19" fillId="10" borderId="15" xfId="0" applyNumberFormat="1" applyFont="1" applyFill="1" applyBorder="1" applyAlignment="1">
      <alignment horizontal="right"/>
    </xf>
    <xf numFmtId="49" fontId="19" fillId="9" borderId="5" xfId="0" applyNumberFormat="1" applyFont="1" applyFill="1" applyBorder="1"/>
    <xf numFmtId="164" fontId="19" fillId="9" borderId="6" xfId="0" applyNumberFormat="1" applyFont="1" applyFill="1" applyBorder="1"/>
    <xf numFmtId="164" fontId="18" fillId="9" borderId="6" xfId="0" applyNumberFormat="1" applyFont="1" applyFill="1" applyBorder="1" applyAlignment="1">
      <alignment horizontal="right"/>
    </xf>
    <xf numFmtId="164" fontId="18" fillId="9" borderId="6" xfId="0" applyNumberFormat="1" applyFont="1" applyFill="1" applyBorder="1"/>
    <xf numFmtId="166" fontId="19" fillId="9" borderId="6" xfId="0" applyNumberFormat="1" applyFont="1" applyFill="1" applyBorder="1"/>
    <xf numFmtId="166" fontId="19" fillId="9" borderId="7" xfId="0" applyNumberFormat="1" applyFont="1" applyFill="1" applyBorder="1"/>
    <xf numFmtId="171" fontId="10" fillId="9" borderId="12" xfId="0" applyNumberFormat="1" applyFont="1" applyFill="1" applyBorder="1"/>
    <xf numFmtId="169" fontId="10" fillId="9" borderId="12" xfId="0" applyNumberFormat="1" applyFont="1" applyFill="1" applyBorder="1"/>
    <xf numFmtId="166" fontId="10" fillId="9" borderId="14" xfId="0" applyNumberFormat="1" applyFont="1" applyFill="1" applyBorder="1"/>
    <xf numFmtId="172" fontId="21" fillId="9" borderId="12" xfId="0" applyNumberFormat="1" applyFont="1" applyFill="1" applyBorder="1"/>
    <xf numFmtId="167" fontId="21" fillId="9" borderId="12" xfId="0" applyNumberFormat="1" applyFont="1" applyFill="1" applyBorder="1"/>
    <xf numFmtId="173" fontId="21" fillId="9" borderId="12" xfId="0" applyNumberFormat="1" applyFont="1" applyFill="1" applyBorder="1"/>
    <xf numFmtId="166" fontId="22" fillId="9" borderId="6" xfId="0" applyNumberFormat="1" applyFont="1" applyFill="1" applyBorder="1"/>
    <xf numFmtId="167" fontId="21" fillId="9" borderId="14" xfId="0" applyNumberFormat="1" applyFont="1" applyFill="1" applyBorder="1"/>
    <xf numFmtId="168" fontId="11" fillId="0" borderId="0" xfId="0" applyNumberFormat="1" applyFont="1"/>
    <xf numFmtId="174" fontId="10" fillId="0" borderId="0" xfId="0" applyNumberFormat="1" applyFont="1"/>
    <xf numFmtId="175" fontId="10" fillId="0" borderId="0" xfId="0" applyNumberFormat="1" applyFont="1"/>
    <xf numFmtId="164" fontId="10" fillId="9" borderId="0" xfId="0" applyNumberFormat="1" applyFont="1" applyFill="1"/>
    <xf numFmtId="164" fontId="10" fillId="9" borderId="0" xfId="0" applyNumberFormat="1" applyFont="1" applyFill="1" applyAlignment="1">
      <alignment horizontal="right"/>
    </xf>
    <xf numFmtId="171" fontId="10" fillId="9" borderId="0" xfId="0" applyNumberFormat="1" applyFont="1" applyFill="1"/>
    <xf numFmtId="164" fontId="11" fillId="9" borderId="0" xfId="0" applyNumberFormat="1" applyFont="1" applyFill="1"/>
    <xf numFmtId="164" fontId="11" fillId="9" borderId="0" xfId="0" applyNumberFormat="1" applyFont="1" applyFill="1" applyAlignment="1">
      <alignment horizontal="right"/>
    </xf>
    <xf numFmtId="169" fontId="10" fillId="9" borderId="0" xfId="0" applyNumberFormat="1" applyFont="1" applyFill="1"/>
    <xf numFmtId="164" fontId="19" fillId="9" borderId="0" xfId="0" applyNumberFormat="1" applyFont="1" applyFill="1" applyBorder="1"/>
    <xf numFmtId="164" fontId="18" fillId="9" borderId="0" xfId="0" applyNumberFormat="1" applyFont="1" applyFill="1" applyBorder="1" applyAlignment="1">
      <alignment horizontal="right"/>
    </xf>
    <xf numFmtId="164" fontId="18" fillId="9" borderId="0" xfId="0" applyNumberFormat="1" applyFont="1" applyFill="1" applyBorder="1"/>
    <xf numFmtId="166" fontId="22" fillId="9" borderId="0" xfId="0" applyNumberFormat="1" applyFont="1" applyFill="1" applyBorder="1"/>
    <xf numFmtId="166" fontId="19" fillId="9" borderId="0" xfId="0" applyNumberFormat="1" applyFont="1" applyFill="1" applyBorder="1"/>
    <xf numFmtId="164" fontId="14" fillId="9" borderId="0" xfId="0" applyNumberFormat="1" applyFont="1" applyFill="1" applyBorder="1" applyAlignment="1">
      <alignment horizontal="left" indent="1"/>
    </xf>
    <xf numFmtId="164" fontId="17" fillId="9" borderId="0" xfId="0" applyNumberFormat="1" applyFont="1" applyFill="1" applyBorder="1" applyAlignment="1">
      <alignment horizontal="right"/>
    </xf>
    <xf numFmtId="164" fontId="17" fillId="9" borderId="0" xfId="0" applyNumberFormat="1" applyFont="1" applyFill="1" applyBorder="1"/>
    <xf numFmtId="164" fontId="20" fillId="9" borderId="0" xfId="0" applyNumberFormat="1" applyFont="1" applyFill="1" applyBorder="1"/>
    <xf numFmtId="172" fontId="21" fillId="9" borderId="0" xfId="0" applyNumberFormat="1" applyFont="1" applyFill="1" applyBorder="1"/>
    <xf numFmtId="167" fontId="21" fillId="9" borderId="0" xfId="0" applyNumberFormat="1" applyFont="1" applyFill="1" applyBorder="1"/>
    <xf numFmtId="173" fontId="21" fillId="9" borderId="0" xfId="0" applyNumberFormat="1" applyFont="1" applyFill="1" applyBorder="1"/>
    <xf numFmtId="164" fontId="14" fillId="9" borderId="0" xfId="0" applyNumberFormat="1" applyFont="1" applyFill="1" applyBorder="1"/>
    <xf numFmtId="167" fontId="17" fillId="9" borderId="0" xfId="0" applyNumberFormat="1" applyFont="1" applyFill="1" applyBorder="1" applyAlignment="1">
      <alignment horizontal="center"/>
    </xf>
    <xf numFmtId="166" fontId="21" fillId="9" borderId="0" xfId="0" applyNumberFormat="1" applyFont="1" applyFill="1" applyBorder="1"/>
    <xf numFmtId="166" fontId="14" fillId="9" borderId="0" xfId="0" applyNumberFormat="1" applyFont="1" applyFill="1" applyBorder="1"/>
    <xf numFmtId="164" fontId="21" fillId="9" borderId="0" xfId="0" applyNumberFormat="1" applyFont="1" applyFill="1" applyBorder="1"/>
    <xf numFmtId="169" fontId="21" fillId="9" borderId="0" xfId="0" applyNumberFormat="1" applyFont="1" applyFill="1" applyBorder="1"/>
    <xf numFmtId="164" fontId="10" fillId="9" borderId="0" xfId="0" applyNumberFormat="1" applyFont="1" applyFill="1" applyBorder="1"/>
    <xf numFmtId="171" fontId="21" fillId="9" borderId="0" xfId="0" applyNumberFormat="1" applyFont="1" applyFill="1" applyBorder="1"/>
    <xf numFmtId="49" fontId="14" fillId="9" borderId="0" xfId="0" applyNumberFormat="1" applyFont="1" applyFill="1" applyBorder="1"/>
    <xf numFmtId="169" fontId="14" fillId="9" borderId="0" xfId="0" applyNumberFormat="1" applyFont="1" applyFill="1" applyBorder="1"/>
  </cellXfs>
  <cellStyles count="10">
    <cellStyle name="Bad" xfId="3" builtinId="27" customBuiltin="1"/>
    <cellStyle name="Calculation" xfId="6" builtinId="22" customBuiltin="1"/>
    <cellStyle name="Check Cell" xfId="8" builtinId="23" customBuiltin="1"/>
    <cellStyle name="Explanatory Text" xfId="9" builtinId="53" customBuiltin="1"/>
    <cellStyle name="Good" xfId="2" builtinId="26" customBuiltin="1"/>
    <cellStyle name="Input" xfId="5" builtinId="20" customBuiltin="1"/>
    <cellStyle name="Linked Cell" xfId="7" builtinId="24" customBuiltin="1"/>
    <cellStyle name="Neutral" xfId="4" builtinId="28" customBuiltin="1"/>
    <cellStyle name="Normal" xfId="0" builtinId="0" customBuiltin="1"/>
    <cellStyle name="Note" xfId="1" builtinId="10" customBuiltin="1"/>
  </cellStyles>
  <dxfs count="0"/>
  <tableStyles count="0" defaultTableStyle="TableStyleMedium2" defaultPivotStyle="PivotStyleLight16"/>
  <colors>
    <mruColors>
      <color rgb="FF1D2DA7"/>
      <color rgb="FF7CEC28"/>
      <color rgb="FF7F17AD"/>
      <color rgb="FFC065E5"/>
      <color rgb="FFE909D9"/>
      <color rgb="FF13076F"/>
      <color rgb="FFFF9999"/>
      <color rgb="FF170882"/>
      <color rgb="FF790563"/>
      <color rgb="FFF44E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DFE9F4"/>
  </sheetPr>
  <dimension ref="A3:U55"/>
  <sheetViews>
    <sheetView showGridLines="0" tabSelected="1" topLeftCell="A2" zoomScaleNormal="100" workbookViewId="0">
      <selection activeCell="G30" sqref="G30"/>
    </sheetView>
  </sheetViews>
  <sheetFormatPr defaultColWidth="9.42578125" defaultRowHeight="13.15" customHeight="1" x14ac:dyDescent="0.2"/>
  <cols>
    <col min="1" max="1" width="2.28515625" style="1" bestFit="1" customWidth="1"/>
    <col min="2" max="4" width="9.42578125" style="4"/>
    <col min="5" max="5" width="9.42578125" style="2"/>
    <col min="6" max="6" width="9.42578125" style="1"/>
    <col min="7" max="7" width="9.7109375" style="1" bestFit="1" customWidth="1"/>
    <col min="8" max="16" width="9.5703125" style="1" bestFit="1" customWidth="1"/>
    <col min="17" max="17" width="9.5703125" style="1" customWidth="1"/>
    <col min="18" max="16384" width="9.42578125" style="1"/>
  </cols>
  <sheetData>
    <row r="3" spans="1:21" ht="13.15" customHeight="1" x14ac:dyDescent="0.2">
      <c r="B3" s="1"/>
      <c r="C3" s="1"/>
      <c r="D3" s="1"/>
      <c r="S3" s="74"/>
    </row>
    <row r="4" spans="1:21" s="3" customFormat="1" ht="13.15" customHeight="1" x14ac:dyDescent="0.2">
      <c r="A4" s="1"/>
      <c r="B4" s="35" t="s">
        <v>4</v>
      </c>
      <c r="C4" s="36"/>
      <c r="D4" s="36"/>
      <c r="E4" s="37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9"/>
    </row>
    <row r="5" spans="1:21" ht="13.15" customHeight="1" x14ac:dyDescent="0.2">
      <c r="B5" s="52" t="s">
        <v>0</v>
      </c>
      <c r="C5" s="53"/>
      <c r="D5" s="53"/>
      <c r="E5" s="54"/>
      <c r="F5" s="55"/>
      <c r="G5" s="56">
        <v>0</v>
      </c>
      <c r="H5" s="56">
        <f>+G5+1</f>
        <v>1</v>
      </c>
      <c r="I5" s="56">
        <f t="shared" ref="I5:Q5" si="0">+H5+1</f>
        <v>2</v>
      </c>
      <c r="J5" s="56">
        <f t="shared" si="0"/>
        <v>3</v>
      </c>
      <c r="K5" s="56">
        <f t="shared" si="0"/>
        <v>4</v>
      </c>
      <c r="L5" s="56">
        <f t="shared" si="0"/>
        <v>5</v>
      </c>
      <c r="M5" s="56">
        <f t="shared" si="0"/>
        <v>6</v>
      </c>
      <c r="N5" s="56">
        <f t="shared" si="0"/>
        <v>7</v>
      </c>
      <c r="O5" s="56">
        <f t="shared" si="0"/>
        <v>8</v>
      </c>
      <c r="P5" s="56">
        <f t="shared" si="0"/>
        <v>9</v>
      </c>
      <c r="Q5" s="57">
        <f t="shared" si="0"/>
        <v>10</v>
      </c>
      <c r="S5" s="73"/>
    </row>
    <row r="6" spans="1:21" s="3" customFormat="1" ht="13.15" customHeight="1" x14ac:dyDescent="0.2">
      <c r="B6" s="18" t="s">
        <v>1</v>
      </c>
      <c r="C6" s="81"/>
      <c r="D6" s="81"/>
      <c r="E6" s="82"/>
      <c r="F6" s="83"/>
      <c r="G6" s="84">
        <v>1000</v>
      </c>
      <c r="H6" s="85">
        <f>G6*(1+H7)</f>
        <v>1000</v>
      </c>
      <c r="I6" s="85">
        <f t="shared" ref="I6:Q6" si="1">H6*(1+I7)</f>
        <v>1000</v>
      </c>
      <c r="J6" s="85">
        <f t="shared" si="1"/>
        <v>1000</v>
      </c>
      <c r="K6" s="85">
        <f t="shared" si="1"/>
        <v>1000</v>
      </c>
      <c r="L6" s="85">
        <f t="shared" si="1"/>
        <v>1000</v>
      </c>
      <c r="M6" s="85">
        <f t="shared" si="1"/>
        <v>1000</v>
      </c>
      <c r="N6" s="85">
        <f t="shared" si="1"/>
        <v>1000</v>
      </c>
      <c r="O6" s="85">
        <f t="shared" si="1"/>
        <v>1000</v>
      </c>
      <c r="P6" s="85">
        <f t="shared" si="1"/>
        <v>1000</v>
      </c>
      <c r="Q6" s="19">
        <f t="shared" si="1"/>
        <v>1000</v>
      </c>
    </row>
    <row r="7" spans="1:21" ht="13.15" customHeight="1" x14ac:dyDescent="0.2">
      <c r="B7" s="20" t="s">
        <v>2</v>
      </c>
      <c r="C7" s="86"/>
      <c r="D7" s="86"/>
      <c r="E7" s="87"/>
      <c r="F7" s="88"/>
      <c r="G7" s="89"/>
      <c r="H7" s="90"/>
      <c r="I7" s="90">
        <v>0</v>
      </c>
      <c r="J7" s="90">
        <v>0</v>
      </c>
      <c r="K7" s="90">
        <v>0</v>
      </c>
      <c r="L7" s="90">
        <v>0</v>
      </c>
      <c r="M7" s="90">
        <v>0</v>
      </c>
      <c r="N7" s="90">
        <v>0</v>
      </c>
      <c r="O7" s="90">
        <v>0</v>
      </c>
      <c r="P7" s="90">
        <v>0</v>
      </c>
      <c r="Q7" s="67">
        <v>0</v>
      </c>
    </row>
    <row r="8" spans="1:21" ht="13.15" customHeight="1" x14ac:dyDescent="0.2">
      <c r="B8" s="20" t="s">
        <v>8</v>
      </c>
      <c r="C8" s="86"/>
      <c r="D8" s="86"/>
      <c r="E8" s="87"/>
      <c r="F8" s="88"/>
      <c r="G8" s="89"/>
      <c r="H8" s="91">
        <v>0.5</v>
      </c>
      <c r="I8" s="91">
        <v>0.5</v>
      </c>
      <c r="J8" s="91">
        <v>0.5</v>
      </c>
      <c r="K8" s="91">
        <v>0.5</v>
      </c>
      <c r="L8" s="91">
        <v>0.5</v>
      </c>
      <c r="M8" s="91">
        <v>0.5</v>
      </c>
      <c r="N8" s="91">
        <v>0.5</v>
      </c>
      <c r="O8" s="91">
        <v>0.5</v>
      </c>
      <c r="P8" s="91">
        <v>0.5</v>
      </c>
      <c r="Q8" s="68">
        <v>0.5</v>
      </c>
    </row>
    <row r="9" spans="1:21" ht="13.15" customHeight="1" x14ac:dyDescent="0.2">
      <c r="B9" s="18" t="s">
        <v>7</v>
      </c>
      <c r="C9" s="86"/>
      <c r="D9" s="86"/>
      <c r="E9" s="87"/>
      <c r="F9" s="88"/>
      <c r="G9" s="92"/>
      <c r="H9" s="92">
        <v>0</v>
      </c>
      <c r="I9" s="92">
        <v>0</v>
      </c>
      <c r="J9" s="92">
        <v>0</v>
      </c>
      <c r="K9" s="92">
        <v>0</v>
      </c>
      <c r="L9" s="92">
        <v>0</v>
      </c>
      <c r="M9" s="92">
        <v>0</v>
      </c>
      <c r="N9" s="92">
        <v>0</v>
      </c>
      <c r="O9" s="92">
        <v>0</v>
      </c>
      <c r="P9" s="92">
        <v>0</v>
      </c>
      <c r="Q9" s="69">
        <v>0</v>
      </c>
    </row>
    <row r="10" spans="1:21" ht="13.15" customHeight="1" x14ac:dyDescent="0.2">
      <c r="B10" s="18" t="s">
        <v>9</v>
      </c>
      <c r="C10" s="86"/>
      <c r="D10" s="86"/>
      <c r="E10" s="87"/>
      <c r="F10" s="88"/>
      <c r="G10" s="89"/>
      <c r="H10" s="92">
        <v>0</v>
      </c>
      <c r="I10" s="92">
        <v>0</v>
      </c>
      <c r="J10" s="92">
        <v>0</v>
      </c>
      <c r="K10" s="92">
        <v>0</v>
      </c>
      <c r="L10" s="92">
        <v>0</v>
      </c>
      <c r="M10" s="92">
        <v>0</v>
      </c>
      <c r="N10" s="92">
        <v>0</v>
      </c>
      <c r="O10" s="92">
        <v>0</v>
      </c>
      <c r="P10" s="92">
        <v>0</v>
      </c>
      <c r="Q10" s="69">
        <v>0</v>
      </c>
    </row>
    <row r="11" spans="1:21" ht="13.15" customHeight="1" x14ac:dyDescent="0.2">
      <c r="B11" s="18" t="s">
        <v>10</v>
      </c>
      <c r="C11" s="86"/>
      <c r="D11" s="86"/>
      <c r="E11" s="87"/>
      <c r="F11" s="88"/>
      <c r="G11" s="89"/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0</v>
      </c>
      <c r="Q11" s="69">
        <v>0</v>
      </c>
    </row>
    <row r="12" spans="1:21" s="3" customFormat="1" ht="13.15" customHeight="1" x14ac:dyDescent="0.2">
      <c r="B12" s="58" t="s">
        <v>3</v>
      </c>
      <c r="C12" s="59"/>
      <c r="D12" s="59"/>
      <c r="E12" s="60"/>
      <c r="F12" s="61"/>
      <c r="G12" s="70">
        <v>100</v>
      </c>
      <c r="H12" s="62">
        <f>(H6*H8-SUM(H9:H11))*(1-$G$18)</f>
        <v>405</v>
      </c>
      <c r="I12" s="62">
        <f t="shared" ref="I12:Q12" si="2">(I6*I8-SUM(I9:I11))*(1-$G$18)</f>
        <v>405</v>
      </c>
      <c r="J12" s="62">
        <f t="shared" si="2"/>
        <v>405</v>
      </c>
      <c r="K12" s="62">
        <f t="shared" si="2"/>
        <v>405</v>
      </c>
      <c r="L12" s="62">
        <f t="shared" si="2"/>
        <v>405</v>
      </c>
      <c r="M12" s="62">
        <f t="shared" si="2"/>
        <v>405</v>
      </c>
      <c r="N12" s="62">
        <f t="shared" si="2"/>
        <v>405</v>
      </c>
      <c r="O12" s="62">
        <f t="shared" si="2"/>
        <v>405</v>
      </c>
      <c r="P12" s="62">
        <f t="shared" si="2"/>
        <v>405</v>
      </c>
      <c r="Q12" s="63">
        <f t="shared" si="2"/>
        <v>405</v>
      </c>
      <c r="U12" s="72"/>
    </row>
    <row r="13" spans="1:21" ht="13.15" customHeight="1" x14ac:dyDescent="0.2">
      <c r="B13" s="18" t="s">
        <v>21</v>
      </c>
      <c r="C13" s="93"/>
      <c r="D13" s="93"/>
      <c r="E13" s="87"/>
      <c r="F13" s="94"/>
      <c r="G13" s="95">
        <v>100</v>
      </c>
      <c r="H13" s="96">
        <f>IF(H12&gt;0,G13+G12*(1-$G$21),G13+G12)</f>
        <v>200</v>
      </c>
      <c r="I13" s="96">
        <f t="shared" ref="I13:Q13" si="3">IF(I12&gt;0,H13+H12*(1-$G$21),H13+H12)</f>
        <v>605</v>
      </c>
      <c r="J13" s="96">
        <f t="shared" si="3"/>
        <v>1010</v>
      </c>
      <c r="K13" s="96">
        <f t="shared" si="3"/>
        <v>1415</v>
      </c>
      <c r="L13" s="96">
        <f t="shared" si="3"/>
        <v>1820</v>
      </c>
      <c r="M13" s="96">
        <f t="shared" si="3"/>
        <v>2225</v>
      </c>
      <c r="N13" s="96">
        <f t="shared" si="3"/>
        <v>2630</v>
      </c>
      <c r="O13" s="96">
        <f t="shared" si="3"/>
        <v>3035</v>
      </c>
      <c r="P13" s="102">
        <f t="shared" si="3"/>
        <v>3440</v>
      </c>
      <c r="Q13" s="40">
        <f t="shared" si="3"/>
        <v>3845</v>
      </c>
      <c r="U13" s="74"/>
    </row>
    <row r="14" spans="1:21" ht="13.15" customHeight="1" x14ac:dyDescent="0.2">
      <c r="B14" s="18" t="s">
        <v>20</v>
      </c>
      <c r="C14" s="93"/>
      <c r="D14" s="93"/>
      <c r="E14" s="87"/>
      <c r="F14" s="94"/>
      <c r="G14" s="97">
        <v>100</v>
      </c>
      <c r="H14" s="93">
        <f>G14*H15</f>
        <v>100</v>
      </c>
      <c r="I14" s="93">
        <f t="shared" ref="I14:Q14" si="4">H14*I15</f>
        <v>100</v>
      </c>
      <c r="J14" s="93">
        <f t="shared" si="4"/>
        <v>100</v>
      </c>
      <c r="K14" s="93">
        <f t="shared" si="4"/>
        <v>100</v>
      </c>
      <c r="L14" s="93">
        <f t="shared" si="4"/>
        <v>100</v>
      </c>
      <c r="M14" s="93">
        <f t="shared" si="4"/>
        <v>100</v>
      </c>
      <c r="N14" s="93">
        <f t="shared" si="4"/>
        <v>100</v>
      </c>
      <c r="O14" s="93">
        <f t="shared" si="4"/>
        <v>100</v>
      </c>
      <c r="P14" s="93">
        <f t="shared" si="4"/>
        <v>100</v>
      </c>
      <c r="Q14" s="41">
        <f t="shared" si="4"/>
        <v>100</v>
      </c>
    </row>
    <row r="15" spans="1:21" ht="13.15" customHeight="1" x14ac:dyDescent="0.2">
      <c r="B15" s="20" t="s">
        <v>6</v>
      </c>
      <c r="C15" s="93"/>
      <c r="D15" s="93"/>
      <c r="E15" s="87"/>
      <c r="F15" s="94"/>
      <c r="G15" s="97"/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  <c r="P15" s="90">
        <v>1</v>
      </c>
      <c r="Q15" s="67">
        <v>1</v>
      </c>
    </row>
    <row r="16" spans="1:21" ht="13.15" customHeight="1" x14ac:dyDescent="0.2">
      <c r="B16" s="18" t="s">
        <v>15</v>
      </c>
      <c r="C16" s="93"/>
      <c r="D16" s="93"/>
      <c r="E16" s="87"/>
      <c r="F16" s="94"/>
      <c r="G16" s="98">
        <v>5</v>
      </c>
      <c r="H16" s="99"/>
      <c r="I16" s="99"/>
      <c r="J16" s="99"/>
      <c r="K16" s="99"/>
      <c r="L16" s="99"/>
      <c r="M16" s="99"/>
      <c r="N16" s="99"/>
      <c r="O16" s="99"/>
      <c r="P16" s="99"/>
      <c r="Q16" s="21"/>
    </row>
    <row r="17" spans="2:17" ht="13.15" customHeight="1" x14ac:dyDescent="0.2">
      <c r="B17" s="18" t="s">
        <v>16</v>
      </c>
      <c r="C17" s="93"/>
      <c r="D17" s="93"/>
      <c r="E17" s="87"/>
      <c r="F17" s="94"/>
      <c r="G17" s="100">
        <v>15</v>
      </c>
      <c r="H17" s="99"/>
      <c r="I17" s="99"/>
      <c r="J17" s="99"/>
      <c r="K17" s="99"/>
      <c r="L17" s="99"/>
      <c r="M17" s="99"/>
      <c r="N17" s="99"/>
      <c r="O17" s="99"/>
      <c r="P17" s="99"/>
      <c r="Q17" s="21"/>
    </row>
    <row r="18" spans="2:17" ht="13.15" customHeight="1" x14ac:dyDescent="0.2">
      <c r="B18" s="18" t="s">
        <v>22</v>
      </c>
      <c r="C18" s="93"/>
      <c r="D18" s="93"/>
      <c r="E18" s="87"/>
      <c r="F18" s="94"/>
      <c r="G18" s="91">
        <v>0.19</v>
      </c>
      <c r="H18" s="99"/>
      <c r="I18" s="99"/>
      <c r="J18" s="99"/>
      <c r="K18" s="99"/>
      <c r="L18" s="99"/>
      <c r="M18" s="99"/>
      <c r="N18" s="99"/>
      <c r="O18" s="99"/>
      <c r="P18" s="99"/>
      <c r="Q18" s="21"/>
    </row>
    <row r="19" spans="2:17" ht="13.15" customHeight="1" x14ac:dyDescent="0.2">
      <c r="B19" s="18" t="s">
        <v>17</v>
      </c>
      <c r="C19" s="101"/>
      <c r="D19" s="101"/>
      <c r="E19" s="87"/>
      <c r="F19" s="88"/>
      <c r="G19" s="91">
        <v>0.1</v>
      </c>
      <c r="H19" s="99"/>
      <c r="I19" s="99"/>
      <c r="J19" s="99"/>
      <c r="K19" s="99"/>
      <c r="L19" s="99"/>
      <c r="M19" s="99"/>
      <c r="N19" s="99"/>
      <c r="O19" s="99"/>
      <c r="P19" s="99"/>
      <c r="Q19" s="21"/>
    </row>
    <row r="20" spans="2:17" ht="13.15" customHeight="1" x14ac:dyDescent="0.2">
      <c r="B20" s="18" t="s">
        <v>18</v>
      </c>
      <c r="C20" s="101"/>
      <c r="D20" s="101"/>
      <c r="E20" s="87"/>
      <c r="F20" s="88"/>
      <c r="G20" s="91">
        <v>0.05</v>
      </c>
      <c r="H20" s="99"/>
      <c r="I20" s="99"/>
      <c r="J20" s="99"/>
      <c r="K20" s="99"/>
      <c r="L20" s="99"/>
      <c r="M20" s="99"/>
      <c r="N20" s="99"/>
      <c r="O20" s="99"/>
      <c r="P20" s="99"/>
      <c r="Q20" s="21"/>
    </row>
    <row r="21" spans="2:17" ht="13.15" customHeight="1" x14ac:dyDescent="0.2">
      <c r="B21" s="22" t="s">
        <v>23</v>
      </c>
      <c r="C21" s="23"/>
      <c r="D21" s="23"/>
      <c r="E21" s="24"/>
      <c r="F21" s="25"/>
      <c r="G21" s="71">
        <v>0</v>
      </c>
      <c r="H21" s="26"/>
      <c r="I21" s="26"/>
      <c r="J21" s="26"/>
      <c r="K21" s="26"/>
      <c r="L21" s="26"/>
      <c r="M21" s="26"/>
      <c r="N21" s="26"/>
      <c r="O21" s="26"/>
      <c r="P21" s="26"/>
      <c r="Q21" s="27"/>
    </row>
    <row r="23" spans="2:17" ht="13.15" customHeight="1" x14ac:dyDescent="0.2">
      <c r="C23" s="10"/>
      <c r="D23" s="1"/>
      <c r="F23" s="6"/>
    </row>
    <row r="24" spans="2:17" ht="13.15" customHeight="1" x14ac:dyDescent="0.2">
      <c r="C24" s="10"/>
      <c r="D24" s="1"/>
      <c r="F24" s="2"/>
      <c r="G24" s="8"/>
      <c r="H24" s="17"/>
      <c r="I24" s="17"/>
      <c r="J24" s="17"/>
      <c r="K24" s="17"/>
      <c r="L24" s="17"/>
    </row>
    <row r="25" spans="2:17" s="3" customFormat="1" ht="13.15" customHeight="1" x14ac:dyDescent="0.2">
      <c r="B25" s="9"/>
      <c r="E25" s="5"/>
      <c r="G25" s="7"/>
      <c r="H25" s="7"/>
      <c r="I25" s="7"/>
      <c r="J25" s="7"/>
      <c r="K25" s="7"/>
      <c r="L25" s="7"/>
    </row>
    <row r="26" spans="2:17" ht="13.15" customHeight="1" x14ac:dyDescent="0.2">
      <c r="C26" s="1"/>
      <c r="D26" s="1"/>
      <c r="F26" s="6"/>
      <c r="H26" s="10"/>
      <c r="I26" s="10"/>
      <c r="J26" s="10"/>
      <c r="K26" s="10"/>
      <c r="L26" s="10"/>
    </row>
    <row r="27" spans="2:17" s="3" customFormat="1" ht="13.15" customHeight="1" x14ac:dyDescent="0.2">
      <c r="B27" s="42" t="s">
        <v>5</v>
      </c>
      <c r="C27" s="43"/>
      <c r="D27" s="43"/>
      <c r="E27" s="44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5"/>
    </row>
    <row r="28" spans="2:17" ht="13.15" customHeight="1" x14ac:dyDescent="0.2">
      <c r="B28" s="46" t="s">
        <v>0</v>
      </c>
      <c r="C28" s="47"/>
      <c r="D28" s="47"/>
      <c r="E28" s="48"/>
      <c r="F28" s="49"/>
      <c r="G28" s="50">
        <v>0</v>
      </c>
      <c r="H28" s="50">
        <f>+G28+1</f>
        <v>1</v>
      </c>
      <c r="I28" s="50">
        <f t="shared" ref="I28:P28" si="5">+H28+1</f>
        <v>2</v>
      </c>
      <c r="J28" s="50">
        <f t="shared" si="5"/>
        <v>3</v>
      </c>
      <c r="K28" s="50">
        <f t="shared" si="5"/>
        <v>4</v>
      </c>
      <c r="L28" s="50">
        <f t="shared" si="5"/>
        <v>5</v>
      </c>
      <c r="M28" s="50">
        <f t="shared" si="5"/>
        <v>6</v>
      </c>
      <c r="N28" s="50">
        <f t="shared" si="5"/>
        <v>7</v>
      </c>
      <c r="O28" s="50">
        <f t="shared" si="5"/>
        <v>8</v>
      </c>
      <c r="P28" s="50">
        <f t="shared" si="5"/>
        <v>9</v>
      </c>
      <c r="Q28" s="51" t="s">
        <v>14</v>
      </c>
    </row>
    <row r="29" spans="2:17" ht="13.15" customHeight="1" x14ac:dyDescent="0.2">
      <c r="B29" s="28" t="s">
        <v>11</v>
      </c>
      <c r="C29" s="75"/>
      <c r="D29" s="75"/>
      <c r="E29" s="76"/>
      <c r="F29" s="75"/>
      <c r="G29" s="77">
        <f>ROUND($G$16*G14/G12, 2)</f>
        <v>5</v>
      </c>
      <c r="H29" s="77">
        <f t="shared" ref="G29:Q29" si="6">ROUND($G$16*H14/H12, 2)</f>
        <v>1.23</v>
      </c>
      <c r="I29" s="77">
        <f t="shared" si="6"/>
        <v>1.23</v>
      </c>
      <c r="J29" s="77">
        <f t="shared" si="6"/>
        <v>1.23</v>
      </c>
      <c r="K29" s="77">
        <f t="shared" si="6"/>
        <v>1.23</v>
      </c>
      <c r="L29" s="77">
        <f t="shared" si="6"/>
        <v>1.23</v>
      </c>
      <c r="M29" s="77">
        <f t="shared" si="6"/>
        <v>1.23</v>
      </c>
      <c r="N29" s="77">
        <f t="shared" si="6"/>
        <v>1.23</v>
      </c>
      <c r="O29" s="77">
        <f t="shared" si="6"/>
        <v>1.23</v>
      </c>
      <c r="P29" s="77">
        <f t="shared" si="6"/>
        <v>1.23</v>
      </c>
      <c r="Q29" s="64">
        <f t="shared" si="6"/>
        <v>1.23</v>
      </c>
    </row>
    <row r="30" spans="2:17" ht="13.15" customHeight="1" x14ac:dyDescent="0.2">
      <c r="B30" s="29" t="s">
        <v>12</v>
      </c>
      <c r="C30" s="78"/>
      <c r="D30" s="78"/>
      <c r="E30" s="79"/>
      <c r="F30" s="78"/>
      <c r="G30" s="80">
        <f>ROUND($G$29*G12/G14, 2)</f>
        <v>5</v>
      </c>
      <c r="H30" s="80">
        <f t="shared" ref="G30:Q30" si="7">ROUND($G$29*H12/H14, 2)</f>
        <v>20.25</v>
      </c>
      <c r="I30" s="80">
        <f t="shared" si="7"/>
        <v>20.25</v>
      </c>
      <c r="J30" s="80">
        <f t="shared" si="7"/>
        <v>20.25</v>
      </c>
      <c r="K30" s="80">
        <f>ROUND($G$29*K12/K14, 2)</f>
        <v>20.25</v>
      </c>
      <c r="L30" s="80">
        <f t="shared" si="7"/>
        <v>20.25</v>
      </c>
      <c r="M30" s="80">
        <f t="shared" si="7"/>
        <v>20.25</v>
      </c>
      <c r="N30" s="80">
        <f t="shared" si="7"/>
        <v>20.25</v>
      </c>
      <c r="O30" s="80">
        <f t="shared" si="7"/>
        <v>20.25</v>
      </c>
      <c r="P30" s="80">
        <f t="shared" si="7"/>
        <v>20.25</v>
      </c>
      <c r="Q30" s="65">
        <f t="shared" si="7"/>
        <v>20.25</v>
      </c>
    </row>
    <row r="31" spans="2:17" ht="13.15" customHeight="1" x14ac:dyDescent="0.2">
      <c r="B31" s="29" t="s">
        <v>13</v>
      </c>
      <c r="C31" s="78"/>
      <c r="D31" s="78"/>
      <c r="E31" s="79"/>
      <c r="F31" s="78"/>
      <c r="G31" s="80">
        <f>ROUND($G$17*G12/$G$14, 2)</f>
        <v>15</v>
      </c>
      <c r="H31" s="80">
        <f t="shared" ref="G31:Q31" si="8">ROUND($G$17*H12/$G$14, 2)</f>
        <v>60.75</v>
      </c>
      <c r="I31" s="80">
        <f t="shared" si="8"/>
        <v>60.75</v>
      </c>
      <c r="J31" s="80">
        <f t="shared" si="8"/>
        <v>60.75</v>
      </c>
      <c r="K31" s="80">
        <f t="shared" si="8"/>
        <v>60.75</v>
      </c>
      <c r="L31" s="80">
        <f t="shared" si="8"/>
        <v>60.75</v>
      </c>
      <c r="M31" s="80">
        <f t="shared" si="8"/>
        <v>60.75</v>
      </c>
      <c r="N31" s="80">
        <f t="shared" si="8"/>
        <v>60.75</v>
      </c>
      <c r="O31" s="80">
        <f t="shared" si="8"/>
        <v>60.75</v>
      </c>
      <c r="P31" s="80">
        <f t="shared" si="8"/>
        <v>60.75</v>
      </c>
      <c r="Q31" s="65">
        <f t="shared" si="8"/>
        <v>60.75</v>
      </c>
    </row>
    <row r="32" spans="2:17" ht="13.15" customHeight="1" x14ac:dyDescent="0.2">
      <c r="B32" s="30" t="s">
        <v>19</v>
      </c>
      <c r="C32" s="31"/>
      <c r="D32" s="31"/>
      <c r="E32" s="32"/>
      <c r="F32" s="31"/>
      <c r="G32" s="33">
        <f>ROUND((G13+(H12-G13*G19)/(1+G19)^1+(I12-H13*G19)/(1+G19)^2+(J12-I13*G19)/(1+G19)^3+(K12-J13*G19)/(1+G19)^4+(L12-K13*G19)/(1+G19)^5+(M12-L13*G19)/(1+G19)^6+(N12-M13*G19)/(1+G19)^7+(O12-N13*G19)/(1+G19)^8+(P12-O13*G19)/(1+G19)^9+(Q12-P13*G19)/(1+G19)^10+((Q12-P13*G19)/(G20))/(1+G19)^10)/G14, 2)</f>
        <v>22.3</v>
      </c>
      <c r="H32" s="66"/>
      <c r="I32" s="66"/>
      <c r="J32" s="66"/>
      <c r="K32" s="66"/>
      <c r="L32" s="66"/>
      <c r="M32" s="66"/>
      <c r="N32" s="66"/>
      <c r="O32" s="34"/>
      <c r="P32" s="34"/>
      <c r="Q32" s="27"/>
    </row>
    <row r="33" spans="1:16" ht="13.15" customHeight="1" x14ac:dyDescent="0.2">
      <c r="C33" s="1"/>
      <c r="D33" s="2"/>
      <c r="F33" s="2"/>
      <c r="G33" s="13"/>
      <c r="M33" s="2"/>
      <c r="N33" s="2"/>
      <c r="O33" s="2"/>
      <c r="P33" s="2"/>
    </row>
    <row r="34" spans="1:16" s="3" customFormat="1" ht="13.15" customHeight="1" x14ac:dyDescent="0.2">
      <c r="B34" s="14"/>
      <c r="C34" s="14"/>
      <c r="D34" s="5"/>
      <c r="E34" s="5"/>
      <c r="F34" s="5"/>
      <c r="G34" s="15"/>
      <c r="I34" s="2"/>
      <c r="J34" s="2"/>
      <c r="K34" s="2"/>
      <c r="L34" s="2"/>
      <c r="M34" s="2"/>
      <c r="N34" s="5"/>
      <c r="O34" s="5"/>
      <c r="P34" s="5"/>
    </row>
    <row r="35" spans="1:16" ht="13.15" customHeight="1" x14ac:dyDescent="0.2">
      <c r="A35" s="2"/>
      <c r="B35" s="2"/>
      <c r="C35" s="2"/>
      <c r="D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s="3" customFormat="1" ht="13.15" customHeight="1" x14ac:dyDescent="0.2">
      <c r="G36" s="2"/>
      <c r="H36" s="5"/>
      <c r="I36" s="2"/>
      <c r="J36" s="2"/>
      <c r="K36" s="2"/>
      <c r="L36" s="2"/>
      <c r="M36" s="2"/>
      <c r="N36" s="5"/>
      <c r="O36" s="5"/>
      <c r="P36" s="5"/>
    </row>
    <row r="37" spans="1:16" ht="13.15" customHeight="1" x14ac:dyDescent="0.2">
      <c r="B37" s="1"/>
      <c r="C37" s="1"/>
      <c r="D37" s="1"/>
      <c r="E37" s="1"/>
      <c r="G37" s="11"/>
      <c r="H37" s="2"/>
      <c r="I37" s="2"/>
      <c r="J37" s="2"/>
      <c r="K37" s="2"/>
      <c r="L37" s="2"/>
      <c r="M37" s="2"/>
      <c r="N37" s="2"/>
      <c r="O37" s="2"/>
      <c r="P37" s="2"/>
    </row>
    <row r="38" spans="1:16" ht="13.15" customHeight="1" x14ac:dyDescent="0.2">
      <c r="B38" s="1"/>
      <c r="C38" s="1"/>
      <c r="D38" s="5"/>
      <c r="E38" s="5"/>
      <c r="F38" s="5"/>
      <c r="G38" s="16"/>
      <c r="H38" s="2"/>
      <c r="I38" s="2"/>
      <c r="J38" s="2"/>
      <c r="K38" s="2"/>
      <c r="L38" s="2"/>
      <c r="M38" s="2"/>
      <c r="N38" s="2"/>
      <c r="O38" s="2"/>
      <c r="P38" s="2"/>
    </row>
    <row r="39" spans="1:16" ht="13.15" customHeight="1" x14ac:dyDescent="0.2">
      <c r="B39" s="1"/>
      <c r="C39" s="1"/>
      <c r="D39" s="1"/>
      <c r="E39" s="1"/>
      <c r="G39" s="11"/>
      <c r="H39" s="2"/>
      <c r="I39" s="2"/>
      <c r="J39" s="2"/>
      <c r="K39" s="2"/>
      <c r="L39" s="2"/>
      <c r="M39" s="2"/>
      <c r="N39" s="2"/>
      <c r="O39" s="2"/>
      <c r="P39" s="2"/>
    </row>
    <row r="40" spans="1:16" ht="13.15" customHeight="1" x14ac:dyDescent="0.2">
      <c r="B40" s="1"/>
      <c r="C40" s="1"/>
      <c r="D40" s="1"/>
      <c r="E40" s="1"/>
      <c r="G40" s="11"/>
      <c r="H40" s="2"/>
      <c r="I40" s="2"/>
      <c r="J40" s="2"/>
      <c r="K40" s="2"/>
      <c r="L40" s="2"/>
      <c r="M40" s="2"/>
      <c r="N40" s="2"/>
      <c r="O40" s="2"/>
      <c r="P40" s="2"/>
    </row>
    <row r="41" spans="1:16" ht="13.15" customHeight="1" x14ac:dyDescent="0.2">
      <c r="B41" s="3"/>
      <c r="C41" s="3"/>
      <c r="D41" s="3"/>
      <c r="E41" s="3"/>
      <c r="F41" s="3"/>
      <c r="G41" s="12"/>
      <c r="H41" s="2"/>
      <c r="I41" s="2"/>
      <c r="J41" s="2"/>
      <c r="K41" s="2"/>
      <c r="L41" s="2"/>
      <c r="M41" s="2"/>
      <c r="N41" s="2"/>
      <c r="O41" s="2"/>
      <c r="P41" s="2"/>
    </row>
    <row r="42" spans="1:16" ht="13.15" customHeight="1" x14ac:dyDescent="0.2">
      <c r="C42" s="1"/>
      <c r="D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13.15" customHeight="1" x14ac:dyDescent="0.2">
      <c r="B43" s="14"/>
      <c r="C43" s="14"/>
      <c r="D43" s="5"/>
      <c r="E43" s="5"/>
      <c r="F43" s="5"/>
      <c r="G43" s="15"/>
      <c r="H43" s="2"/>
      <c r="I43" s="2"/>
      <c r="J43" s="2"/>
      <c r="K43" s="2"/>
      <c r="L43" s="2"/>
      <c r="M43" s="2"/>
      <c r="N43" s="2"/>
      <c r="O43" s="2"/>
      <c r="P43" s="2"/>
    </row>
    <row r="44" spans="1:16" ht="13.15" customHeight="1" x14ac:dyDescent="0.2">
      <c r="B44" s="1"/>
      <c r="C44" s="1"/>
      <c r="D44" s="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t="13.15" customHeight="1" x14ac:dyDescent="0.2">
      <c r="B45" s="1"/>
      <c r="C45" s="1"/>
      <c r="D45" s="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ht="13.15" customHeight="1" x14ac:dyDescent="0.2">
      <c r="B46" s="1"/>
      <c r="C46" s="1"/>
      <c r="D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t="13.15" customHeight="1" x14ac:dyDescent="0.2">
      <c r="B47" s="1"/>
      <c r="C47" s="1"/>
      <c r="D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t="13.15" customHeight="1" x14ac:dyDescent="0.2">
      <c r="B48" s="1"/>
      <c r="C48" s="1"/>
      <c r="D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2:16" ht="13.15" customHeight="1" x14ac:dyDescent="0.2">
      <c r="B49" s="1"/>
      <c r="C49" s="1"/>
      <c r="D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2:16" ht="13.15" customHeight="1" x14ac:dyDescent="0.2">
      <c r="B50" s="1"/>
      <c r="C50" s="1"/>
      <c r="D50" s="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2:16" ht="13.15" customHeight="1" x14ac:dyDescent="0.2">
      <c r="B51" s="1"/>
      <c r="C51" s="1"/>
      <c r="D51" s="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2:16" ht="13.15" customHeight="1" x14ac:dyDescent="0.2">
      <c r="B52" s="1"/>
      <c r="C52" s="1"/>
      <c r="D52" s="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2:16" ht="13.15" customHeight="1" x14ac:dyDescent="0.2">
      <c r="B53" s="1"/>
      <c r="C53" s="1"/>
      <c r="D53" s="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2:16" ht="13.15" customHeight="1" x14ac:dyDescent="0.2">
      <c r="B54" s="1"/>
      <c r="C54" s="1"/>
      <c r="D54" s="1"/>
    </row>
    <row r="55" spans="2:16" ht="13.15" customHeight="1" x14ac:dyDescent="0.2">
      <c r="B55" s="1"/>
      <c r="C55" s="1"/>
      <c r="D5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- 10 Year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2024-08-23T13:47:29Z</dcterms:created>
  <dcterms:modified xsi:type="dcterms:W3CDTF">2026-01-13T07:05:31Z</dcterms:modified>
</cp:coreProperties>
</file>